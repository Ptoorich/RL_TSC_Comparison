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hle\Desktop\WITS\SM8\MECN4035A Investigational Project\RL_TSC_Comparison\Results_Presentation\"/>
    </mc:Choice>
  </mc:AlternateContent>
  <xr:revisionPtr revIDLastSave="0" documentId="8_{BC6C675F-36D6-4868-B29B-45B9A7CE7DB5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Evaluation Results" sheetId="1" r:id="rId1"/>
    <sheet name="Summary by Config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3" authorId="0" shapeId="0" xr:uid="{00000000-0006-0000-0000-000001000000}">
      <text>
        <r>
          <rPr>
            <sz val="10"/>
            <rFont val="Arial"/>
            <family val="2"/>
          </rPr>
          <t>These values are identical to marl_dqn_ps_6int in every metric (mean and SD). This matches a known issue on this project where a saved model file was mislabeled/duplicated. Flagging for verification before using in the report.</t>
        </r>
      </text>
    </comment>
  </commentList>
</comments>
</file>

<file path=xl/sharedStrings.xml><?xml version="1.0" encoding="utf-8"?>
<sst xmlns="http://schemas.openxmlformats.org/spreadsheetml/2006/main" count="86" uniqueCount="36">
  <si>
    <t>Config</t>
  </si>
  <si>
    <t>Method</t>
  </si>
  <si>
    <t>Algorithm</t>
  </si>
  <si>
    <t>Intersections</t>
  </si>
  <si>
    <t>Mean Reward</t>
  </si>
  <si>
    <t>Reward SD</t>
  </si>
  <si>
    <t>Mean Avg Queue (veh)</t>
  </si>
  <si>
    <t>Queue SD</t>
  </si>
  <si>
    <t>Mean Throughput (veh)</t>
  </si>
  <si>
    <t>Throughput SD</t>
  </si>
  <si>
    <t>Mean Travel Time (s)</t>
  </si>
  <si>
    <t>Travel Time SD</t>
  </si>
  <si>
    <t>Mean Delay (s)</t>
  </si>
  <si>
    <t>Delay SD</t>
  </si>
  <si>
    <t>Mean Teleports</t>
  </si>
  <si>
    <t>Teleports SD</t>
  </si>
  <si>
    <t>sarl_dqn_2int</t>
  </si>
  <si>
    <t>SARL</t>
  </si>
  <si>
    <t>DQN</t>
  </si>
  <si>
    <t>sarl_ppo_2int</t>
  </si>
  <si>
    <t>PPO</t>
  </si>
  <si>
    <t>marl_dqn_ps_2int</t>
  </si>
  <si>
    <t>MARL-PS</t>
  </si>
  <si>
    <t>marl_ppo_ps_2int</t>
  </si>
  <si>
    <t>sarl_dqn_4int</t>
  </si>
  <si>
    <t>sarl_ppo_4int</t>
  </si>
  <si>
    <t>marl_dqn_ps_4int</t>
  </si>
  <si>
    <t>marl_ppo_ps_4int</t>
  </si>
  <si>
    <t>sarl_dqn_6int</t>
  </si>
  <si>
    <t>sarl_ppo_6int</t>
  </si>
  <si>
    <t>marl_dqn_ps_6int</t>
  </si>
  <si>
    <t>marl_ppo_ps_6int</t>
  </si>
  <si>
    <t>Post-Evaluation Summary (10 episodes per config)</t>
  </si>
  <si>
    <t>2 Intersections</t>
  </si>
  <si>
    <t>4 Intersections</t>
  </si>
  <si>
    <t>6 Intersections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</si>
</sst>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0"/>
      <name val="Arial"/>
      <family val="2"/>
    </font>
    <font>
      <b/>
      <sz val="13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2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/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2" fontId="2" fillId="3" borderId="1" xfId="0" applyNumberFormat="1" applyFont="1" applyFill="1" applyBorder="1"/>
    <xf numFmtId="0" fontId="1" fillId="2" borderId="1" xfId="0" applyFont="1" applyFill="1" applyBorder="1" applyAlignment="1">
      <alignment horizontal="center" wrapText="1"/>
    </xf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'Evaluation Results'!$G$1</c:f>
              <c:strCache>
                <c:ptCount val="1"/>
                <c:pt idx="0">
                  <c:v>Mean Avg Queue (veh)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'Evaluation Results'!$A$2:$A$13</c:f>
              <c:strCache>
                <c:ptCount val="12"/>
                <c:pt idx="0">
                  <c:v>sarl_dqn_2int</c:v>
                </c:pt>
                <c:pt idx="1">
                  <c:v>sarl_ppo_2int</c:v>
                </c:pt>
                <c:pt idx="2">
                  <c:v>marl_dqn_ps_2int</c:v>
                </c:pt>
                <c:pt idx="3">
                  <c:v>marl_ppo_ps_2int</c:v>
                </c:pt>
                <c:pt idx="4">
                  <c:v>sarl_dqn_4int</c:v>
                </c:pt>
                <c:pt idx="5">
                  <c:v>sarl_ppo_4int</c:v>
                </c:pt>
                <c:pt idx="6">
                  <c:v>marl_dqn_ps_4int</c:v>
                </c:pt>
                <c:pt idx="7">
                  <c:v>marl_ppo_ps_4int</c:v>
                </c:pt>
                <c:pt idx="8">
                  <c:v>sarl_dqn_6int</c:v>
                </c:pt>
                <c:pt idx="9">
                  <c:v>sarl_ppo_6int</c:v>
                </c:pt>
                <c:pt idx="10">
                  <c:v>marl_dqn_ps_6int</c:v>
                </c:pt>
                <c:pt idx="11">
                  <c:v>marl_ppo_ps_6int</c:v>
                </c:pt>
              </c:strCache>
            </c:strRef>
          </c:cat>
          <c:val>
            <c:numRef>
              <c:f>'Evaluation Results'!$G$2:$G$13</c:f>
              <c:numCache>
                <c:formatCode>0.00</c:formatCode>
                <c:ptCount val="12"/>
                <c:pt idx="0">
                  <c:v>2.58</c:v>
                </c:pt>
                <c:pt idx="1">
                  <c:v>3.49</c:v>
                </c:pt>
                <c:pt idx="2">
                  <c:v>1.92</c:v>
                </c:pt>
                <c:pt idx="3">
                  <c:v>2.68</c:v>
                </c:pt>
                <c:pt idx="4">
                  <c:v>5.38</c:v>
                </c:pt>
                <c:pt idx="5">
                  <c:v>5.1100000000000003</c:v>
                </c:pt>
                <c:pt idx="6">
                  <c:v>5.74</c:v>
                </c:pt>
                <c:pt idx="7">
                  <c:v>5.08</c:v>
                </c:pt>
                <c:pt idx="8">
                  <c:v>5</c:v>
                </c:pt>
                <c:pt idx="9">
                  <c:v>5.0599999999999996</c:v>
                </c:pt>
                <c:pt idx="10">
                  <c:v>4.6399999999999997</c:v>
                </c:pt>
                <c:pt idx="11">
                  <c:v>4.6399999999999997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6-45C6-AFF7-9B1704321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2582255"/>
        <c:axId val="1904804255"/>
      </c:barChart>
      <c:catAx>
        <c:axId val="185258225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04255"/>
        <c:crosses val="autoZero"/>
        <c:auto val="1"/>
        <c:lblAlgn val="ctr"/>
        <c:lblOffset val="100"/>
        <c:noMultiLvlLbl val="0"/>
      </c:catAx>
      <c:valAx>
        <c:axId val="190480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58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'Evaluation Results'!$K$1</c:f>
              <c:strCache>
                <c:ptCount val="1"/>
                <c:pt idx="0">
                  <c:v>Mean Travel 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'Evaluation Results'!$A$2:$A$13</c:f>
              <c:strCache>
                <c:ptCount val="12"/>
                <c:pt idx="0">
                  <c:v>sarl_dqn_2int</c:v>
                </c:pt>
                <c:pt idx="1">
                  <c:v>sarl_ppo_2int</c:v>
                </c:pt>
                <c:pt idx="2">
                  <c:v>marl_dqn_ps_2int</c:v>
                </c:pt>
                <c:pt idx="3">
                  <c:v>marl_ppo_ps_2int</c:v>
                </c:pt>
                <c:pt idx="4">
                  <c:v>sarl_dqn_4int</c:v>
                </c:pt>
                <c:pt idx="5">
                  <c:v>sarl_ppo_4int</c:v>
                </c:pt>
                <c:pt idx="6">
                  <c:v>marl_dqn_ps_4int</c:v>
                </c:pt>
                <c:pt idx="7">
                  <c:v>marl_ppo_ps_4int</c:v>
                </c:pt>
                <c:pt idx="8">
                  <c:v>sarl_dqn_6int</c:v>
                </c:pt>
                <c:pt idx="9">
                  <c:v>sarl_ppo_6int</c:v>
                </c:pt>
                <c:pt idx="10">
                  <c:v>marl_dqn_ps_6int</c:v>
                </c:pt>
                <c:pt idx="11">
                  <c:v>marl_ppo_ps_6int</c:v>
                </c:pt>
              </c:strCache>
            </c:strRef>
          </c:cat>
          <c:val>
            <c:numRef>
              <c:f>'Evaluation Results'!$K$2:$K$13</c:f>
              <c:numCache>
                <c:formatCode>0.00</c:formatCode>
                <c:ptCount val="12"/>
                <c:pt idx="0">
                  <c:v>58.6</c:v>
                </c:pt>
                <c:pt idx="1">
                  <c:v>88.3</c:v>
                </c:pt>
                <c:pt idx="2">
                  <c:v>46.7</c:v>
                </c:pt>
                <c:pt idx="3">
                  <c:v>75.599999999999994</c:v>
                </c:pt>
                <c:pt idx="4">
                  <c:v>341</c:v>
                </c:pt>
                <c:pt idx="5">
                  <c:v>309.3</c:v>
                </c:pt>
                <c:pt idx="6">
                  <c:v>371.2</c:v>
                </c:pt>
                <c:pt idx="7">
                  <c:v>310.2</c:v>
                </c:pt>
                <c:pt idx="8">
                  <c:v>396.1</c:v>
                </c:pt>
                <c:pt idx="9">
                  <c:v>410.6</c:v>
                </c:pt>
                <c:pt idx="10">
                  <c:v>376.3</c:v>
                </c:pt>
                <c:pt idx="11">
                  <c:v>376.3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B-47BA-B4AF-E26622B59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619631"/>
        <c:axId val="1703166847"/>
      </c:barChart>
      <c:catAx>
        <c:axId val="187661963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166847"/>
        <c:crosses val="autoZero"/>
        <c:auto val="1"/>
        <c:lblAlgn val="ctr"/>
        <c:lblOffset val="100"/>
        <c:noMultiLvlLbl val="0"/>
      </c:catAx>
      <c:valAx>
        <c:axId val="170316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61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'Evaluation Results'!$E$1</c:f>
              <c:strCache>
                <c:ptCount val="1"/>
                <c:pt idx="0">
                  <c:v>Mean Reward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'Evaluation Results'!$A$2:$A$13</c:f>
              <c:strCache>
                <c:ptCount val="12"/>
                <c:pt idx="0">
                  <c:v>sarl_dqn_2int</c:v>
                </c:pt>
                <c:pt idx="1">
                  <c:v>sarl_ppo_2int</c:v>
                </c:pt>
                <c:pt idx="2">
                  <c:v>marl_dqn_ps_2int</c:v>
                </c:pt>
                <c:pt idx="3">
                  <c:v>marl_ppo_ps_2int</c:v>
                </c:pt>
                <c:pt idx="4">
                  <c:v>sarl_dqn_4int</c:v>
                </c:pt>
                <c:pt idx="5">
                  <c:v>sarl_ppo_4int</c:v>
                </c:pt>
                <c:pt idx="6">
                  <c:v>marl_dqn_ps_4int</c:v>
                </c:pt>
                <c:pt idx="7">
                  <c:v>marl_ppo_ps_4int</c:v>
                </c:pt>
                <c:pt idx="8">
                  <c:v>sarl_dqn_6int</c:v>
                </c:pt>
                <c:pt idx="9">
                  <c:v>sarl_ppo_6int</c:v>
                </c:pt>
                <c:pt idx="10">
                  <c:v>marl_dqn_ps_6int</c:v>
                </c:pt>
                <c:pt idx="11">
                  <c:v>marl_ppo_ps_6int</c:v>
                </c:pt>
              </c:strCache>
            </c:strRef>
          </c:cat>
          <c:val>
            <c:numRef>
              <c:f>'Evaluation Results'!$E$2:$E$13</c:f>
              <c:numCache>
                <c:formatCode>0.00</c:formatCode>
                <c:ptCount val="12"/>
                <c:pt idx="0">
                  <c:v>-827.7</c:v>
                </c:pt>
                <c:pt idx="1">
                  <c:v>-1138.7</c:v>
                </c:pt>
                <c:pt idx="2">
                  <c:v>-528.70000000000005</c:v>
                </c:pt>
                <c:pt idx="3">
                  <c:v>-836</c:v>
                </c:pt>
                <c:pt idx="4">
                  <c:v>-5983.8</c:v>
                </c:pt>
                <c:pt idx="5">
                  <c:v>-5398.4</c:v>
                </c:pt>
                <c:pt idx="6">
                  <c:v>-6140.5</c:v>
                </c:pt>
                <c:pt idx="7">
                  <c:v>-5376.7</c:v>
                </c:pt>
                <c:pt idx="8">
                  <c:v>-6854.5</c:v>
                </c:pt>
                <c:pt idx="9">
                  <c:v>-7137.7</c:v>
                </c:pt>
                <c:pt idx="10">
                  <c:v>-6505.4</c:v>
                </c:pt>
                <c:pt idx="11">
                  <c:v>-6505.4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8-4E34-8135-D88C493BE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270079"/>
        <c:axId val="1904871935"/>
      </c:barChart>
      <c:catAx>
        <c:axId val="187627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71935"/>
        <c:crosses val="autoZero"/>
        <c:auto val="1"/>
        <c:lblAlgn val="ctr"/>
        <c:lblOffset val="100"/>
        <c:noMultiLvlLbl val="0"/>
      </c:catAx>
      <c:valAx>
        <c:axId val="190487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27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Mean</a:t>
            </a:r>
            <a:r>
              <a:rPr lang="en-GB" baseline="0"/>
              <a:t> Throughput vs Network Size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21981627296585"/>
          <c:y val="0.19486111111111112"/>
          <c:w val="0.80733573928258962"/>
          <c:h val="0.60977653834937307"/>
        </c:manualLayout>
      </c:layout>
      <c:lineChart>
        <c:grouping val="standard"/>
        <c:varyColors val="0"/>
        <c:ser>
          <c:idx val="0"/>
          <c:order val="0"/>
          <c:tx>
            <c:v>SARL DQN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Results'!$I$2,'Evaluation Results'!$I$6,'Evaluation Results'!$I$10)</c:f>
              <c:numCache>
                <c:formatCode>0.00</c:formatCode>
                <c:ptCount val="3"/>
                <c:pt idx="0">
                  <c:v>29.4</c:v>
                </c:pt>
                <c:pt idx="1">
                  <c:v>14.1</c:v>
                </c:pt>
                <c:pt idx="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A1-4B63-BD9C-9AF48CF431D6}"/>
            </c:ext>
          </c:extLst>
        </c:ser>
        <c:ser>
          <c:idx val="1"/>
          <c:order val="1"/>
          <c:tx>
            <c:v>SARL PPO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Results'!$I$3,'Evaluation Results'!$I$7,'Evaluation Results'!$I$11)</c:f>
              <c:numCache>
                <c:formatCode>0.00</c:formatCode>
                <c:ptCount val="3"/>
                <c:pt idx="0">
                  <c:v>53.7</c:v>
                </c:pt>
                <c:pt idx="1">
                  <c:v>14.9</c:v>
                </c:pt>
                <c:pt idx="2">
                  <c:v>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A1-4B63-BD9C-9AF48CF431D6}"/>
            </c:ext>
          </c:extLst>
        </c:ser>
        <c:ser>
          <c:idx val="2"/>
          <c:order val="2"/>
          <c:tx>
            <c:v>MARL DQN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Results'!$I$4,'Evaluation Results'!$I$8,'Evaluation Results'!$I$12)</c:f>
              <c:numCache>
                <c:formatCode>0.00</c:formatCode>
                <c:ptCount val="3"/>
                <c:pt idx="0">
                  <c:v>23.7</c:v>
                </c:pt>
                <c:pt idx="1">
                  <c:v>8.1999999999999993</c:v>
                </c:pt>
                <c:pt idx="2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A1-4B63-BD9C-9AF48CF431D6}"/>
            </c:ext>
          </c:extLst>
        </c:ser>
        <c:ser>
          <c:idx val="3"/>
          <c:order val="3"/>
          <c:tx>
            <c:v>MARL PPO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Results'!$I$5,'Evaluation Results'!$I$9,'Evaluation Results'!$I$13)</c:f>
              <c:numCache>
                <c:formatCode>0.00</c:formatCode>
                <c:ptCount val="3"/>
                <c:pt idx="0">
                  <c:v>37</c:v>
                </c:pt>
                <c:pt idx="1">
                  <c:v>11.9</c:v>
                </c:pt>
                <c:pt idx="2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A1-4B63-BD9C-9AF48CF43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8621663"/>
        <c:axId val="1904885855"/>
      </c:lineChart>
      <c:catAx>
        <c:axId val="184862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Netwrok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85855"/>
        <c:crosses val="autoZero"/>
        <c:auto val="1"/>
        <c:lblAlgn val="ctr"/>
        <c:lblOffset val="100"/>
        <c:noMultiLvlLbl val="0"/>
      </c:catAx>
      <c:valAx>
        <c:axId val="190488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Throughput (vehicles)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62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Mean Travel Time vs Network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SARL DQN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Results'!$K$2,'Evaluation Results'!$K$6,'Evaluation Results'!$K$10)</c:f>
              <c:numCache>
                <c:formatCode>0.00</c:formatCode>
                <c:ptCount val="3"/>
                <c:pt idx="0">
                  <c:v>58.6</c:v>
                </c:pt>
                <c:pt idx="1">
                  <c:v>341</c:v>
                </c:pt>
                <c:pt idx="2">
                  <c:v>396.1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EE-44DB-B300-35F949D4246F}"/>
            </c:ext>
          </c:extLst>
        </c:ser>
        <c:ser>
          <c:idx val="1"/>
          <c:order val="1"/>
          <c:tx>
            <c:v>SARL PPO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Results'!$K$3,'Evaluation Results'!$K$7,'Evaluation Results'!$K$11)</c:f>
              <c:numCache>
                <c:formatCode>0.00</c:formatCode>
                <c:ptCount val="3"/>
                <c:pt idx="0">
                  <c:v>88.3</c:v>
                </c:pt>
                <c:pt idx="1">
                  <c:v>309.3</c:v>
                </c:pt>
                <c:pt idx="2">
                  <c:v>410.6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EE-44DB-B300-35F949D4246F}"/>
            </c:ext>
          </c:extLst>
        </c:ser>
        <c:ser>
          <c:idx val="2"/>
          <c:order val="2"/>
          <c:tx>
            <c:v>MARL PPO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Results'!$K$5,'Evaluation Results'!$K$9,'Evaluation Results'!$K$13)</c:f>
              <c:numCache>
                <c:formatCode>0.00</c:formatCode>
                <c:ptCount val="3"/>
                <c:pt idx="0">
                  <c:v>75.599999999999994</c:v>
                </c:pt>
                <c:pt idx="1">
                  <c:v>310.2</c:v>
                </c:pt>
                <c:pt idx="2">
                  <c:v>376.3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EE-44DB-B300-35F949D4246F}"/>
            </c:ext>
          </c:extLst>
        </c:ser>
        <c:ser>
          <c:idx val="3"/>
          <c:order val="3"/>
          <c:tx>
            <c:v>MARL DQN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Results'!$K$4,'Evaluation Results'!$K$8,'Evaluation Results'!$K$12)</c:f>
              <c:numCache>
                <c:formatCode>0.00</c:formatCode>
                <c:ptCount val="3"/>
                <c:pt idx="0">
                  <c:v>46.7</c:v>
                </c:pt>
                <c:pt idx="1">
                  <c:v>371.2</c:v>
                </c:pt>
                <c:pt idx="2">
                  <c:v>376.3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EE-44DB-B300-35F949D42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2356399"/>
        <c:axId val="1870961567"/>
      </c:lineChart>
      <c:catAx>
        <c:axId val="1852356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Network</a:t>
                </a:r>
                <a:r>
                  <a:rPr lang="en-GB" baseline="0"/>
                  <a:t> Size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961567"/>
        <c:crosses val="autoZero"/>
        <c:auto val="1"/>
        <c:lblAlgn val="ctr"/>
        <c:lblOffset val="100"/>
        <c:noMultiLvlLbl val="0"/>
      </c:catAx>
      <c:valAx>
        <c:axId val="187096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Travel 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35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 Queue</a:t>
            </a:r>
            <a:r>
              <a:rPr lang="en-GB" baseline="0"/>
              <a:t> vs Network Size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SARL DQN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Results'!$G$2,'Evaluation Results'!$G$6,'Evaluation Results'!$G$10)</c:f>
              <c:numCache>
                <c:formatCode>0.00</c:formatCode>
                <c:ptCount val="3"/>
                <c:pt idx="0">
                  <c:v>2.58</c:v>
                </c:pt>
                <c:pt idx="1">
                  <c:v>5.38</c:v>
                </c:pt>
                <c:pt idx="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4-40B3-82CF-1EB3F30DEAB2}"/>
            </c:ext>
          </c:extLst>
        </c:ser>
        <c:ser>
          <c:idx val="1"/>
          <c:order val="1"/>
          <c:tx>
            <c:v>SARL PPO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Results'!$G$3,'Evaluation Results'!$G$7,'Evaluation Results'!$G$11)</c:f>
              <c:numCache>
                <c:formatCode>0.00</c:formatCode>
                <c:ptCount val="3"/>
                <c:pt idx="0">
                  <c:v>3.49</c:v>
                </c:pt>
                <c:pt idx="1">
                  <c:v>5.1100000000000003</c:v>
                </c:pt>
                <c:pt idx="2">
                  <c:v>5.0599999999999996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F4-40B3-82CF-1EB3F30DEAB2}"/>
            </c:ext>
          </c:extLst>
        </c:ser>
        <c:ser>
          <c:idx val="2"/>
          <c:order val="2"/>
          <c:tx>
            <c:v>MARL DQN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Results'!$G$4,'Evaluation Results'!$G$8,'Evaluation Results'!$G$12)</c:f>
              <c:numCache>
                <c:formatCode>0.00</c:formatCode>
                <c:ptCount val="3"/>
                <c:pt idx="0">
                  <c:v>1.92</c:v>
                </c:pt>
                <c:pt idx="1">
                  <c:v>5.74</c:v>
                </c:pt>
                <c:pt idx="2">
                  <c:v>4.6399999999999997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F4-40B3-82CF-1EB3F30DEAB2}"/>
            </c:ext>
          </c:extLst>
        </c:ser>
        <c:ser>
          <c:idx val="3"/>
          <c:order val="3"/>
          <c:tx>
            <c:v>MARL PPO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Results'!$G$5,'Evaluation Results'!$G$9,'Evaluation Results'!$G$13)</c:f>
              <c:numCache>
                <c:formatCode>0.00</c:formatCode>
                <c:ptCount val="3"/>
                <c:pt idx="0">
                  <c:v>2.68</c:v>
                </c:pt>
                <c:pt idx="1">
                  <c:v>5.08</c:v>
                </c:pt>
                <c:pt idx="2">
                  <c:v>4.6399999999999997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F4-40B3-82CF-1EB3F30DE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71663"/>
        <c:axId val="1904855135"/>
      </c:lineChart>
      <c:catAx>
        <c:axId val="18907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Network</a:t>
                </a:r>
                <a:r>
                  <a:rPr lang="en-GB" baseline="0"/>
                  <a:t> Size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55135"/>
        <c:crosses val="autoZero"/>
        <c:auto val="1"/>
        <c:lblAlgn val="ctr"/>
        <c:lblOffset val="100"/>
        <c:noMultiLvlLbl val="0"/>
      </c:catAx>
      <c:valAx>
        <c:axId val="190485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Avg Queue</a:t>
                </a:r>
                <a:r>
                  <a:rPr lang="en-GB" baseline="0"/>
                  <a:t> (vehicles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7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Mean Delay</a:t>
            </a:r>
            <a:r>
              <a:rPr lang="en-GB" baseline="0"/>
              <a:t> vs Network Size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SARL DQN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Results'!$M$2,'Evaluation Results'!$M$6,'Evaluation Results'!$M$10)</c:f>
              <c:numCache>
                <c:formatCode>0.00</c:formatCode>
                <c:ptCount val="3"/>
                <c:pt idx="0">
                  <c:v>46.9</c:v>
                </c:pt>
                <c:pt idx="1">
                  <c:v>323.89999999999998</c:v>
                </c:pt>
                <c:pt idx="2">
                  <c:v>374.9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98-411C-9A6B-5C1E31E6FA71}"/>
            </c:ext>
          </c:extLst>
        </c:ser>
        <c:ser>
          <c:idx val="1"/>
          <c:order val="1"/>
          <c:tx>
            <c:v>SARL PPO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Results'!$M$3,'Evaluation Results'!$M$7,'Evaluation Results'!$M$11)</c:f>
              <c:numCache>
                <c:formatCode>0.00</c:formatCode>
                <c:ptCount val="3"/>
                <c:pt idx="0">
                  <c:v>76.5</c:v>
                </c:pt>
                <c:pt idx="1">
                  <c:v>292.60000000000002</c:v>
                </c:pt>
                <c:pt idx="2">
                  <c:v>389.4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98-411C-9A6B-5C1E31E6FA71}"/>
            </c:ext>
          </c:extLst>
        </c:ser>
        <c:ser>
          <c:idx val="2"/>
          <c:order val="2"/>
          <c:tx>
            <c:v>MARL DQN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Results'!$M$4,'Evaluation Results'!$M$8,'Evaluation Results'!$M$12)</c:f>
              <c:numCache>
                <c:formatCode>0.00</c:formatCode>
                <c:ptCount val="3"/>
                <c:pt idx="0">
                  <c:v>35.1</c:v>
                </c:pt>
                <c:pt idx="1">
                  <c:v>352.8</c:v>
                </c:pt>
                <c:pt idx="2">
                  <c:v>356.5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98-411C-9A6B-5C1E31E6FA71}"/>
            </c:ext>
          </c:extLst>
        </c:ser>
        <c:ser>
          <c:idx val="3"/>
          <c:order val="3"/>
          <c:tx>
            <c:v>MARL PPO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'Evaluation Results'!$A$16:$A$18</c:f>
              <c:strCache>
                <c:ptCount val="3"/>
                <c:pt idx="0">
                  <c:v>2 Intersections</c:v>
                </c:pt>
                <c:pt idx="1">
                  <c:v>4 Intersections</c:v>
                </c:pt>
                <c:pt idx="2">
                  <c:v>6 Intersections</c:v>
                </c:pt>
              </c:strCache>
            </c:strRef>
          </c:cat>
          <c:val>
            <c:numRef>
              <c:f>('Evaluation Results'!$M$5,'Evaluation Results'!$M$9,'Evaluation Results'!$M$13)</c:f>
              <c:numCache>
                <c:formatCode>0.00</c:formatCode>
                <c:ptCount val="3"/>
                <c:pt idx="0">
                  <c:v>63.9</c:v>
                </c:pt>
                <c:pt idx="1">
                  <c:v>293.5</c:v>
                </c:pt>
                <c:pt idx="2">
                  <c:v>356.5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98-411C-9A6B-5C1E31E6F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20383"/>
        <c:axId val="1904902175"/>
      </c:lineChart>
      <c:catAx>
        <c:axId val="18912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Network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902175"/>
        <c:crosses val="autoZero"/>
        <c:auto val="1"/>
        <c:lblAlgn val="ctr"/>
        <c:lblOffset val="100"/>
        <c:noMultiLvlLbl val="0"/>
      </c:catAx>
      <c:valAx>
        <c:axId val="190490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Delay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2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Mean Throughput by Config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'Evaluation Results'!$I$1</c:f>
              <c:strCache>
                <c:ptCount val="1"/>
                <c:pt idx="0">
                  <c:v>Mean Throughput (veh)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'Evaluation Results'!$A$2:$A$13</c:f>
              <c:strCache>
                <c:ptCount val="12"/>
                <c:pt idx="0">
                  <c:v>sarl_dqn_2int</c:v>
                </c:pt>
                <c:pt idx="1">
                  <c:v>sarl_ppo_2int</c:v>
                </c:pt>
                <c:pt idx="2">
                  <c:v>marl_dqn_ps_2int</c:v>
                </c:pt>
                <c:pt idx="3">
                  <c:v>marl_ppo_ps_2int</c:v>
                </c:pt>
                <c:pt idx="4">
                  <c:v>sarl_dqn_4int</c:v>
                </c:pt>
                <c:pt idx="5">
                  <c:v>sarl_ppo_4int</c:v>
                </c:pt>
                <c:pt idx="6">
                  <c:v>marl_dqn_ps_4int</c:v>
                </c:pt>
                <c:pt idx="7">
                  <c:v>marl_ppo_ps_4int</c:v>
                </c:pt>
                <c:pt idx="8">
                  <c:v>sarl_dqn_6int</c:v>
                </c:pt>
                <c:pt idx="9">
                  <c:v>sarl_ppo_6int</c:v>
                </c:pt>
                <c:pt idx="10">
                  <c:v>marl_dqn_ps_6int</c:v>
                </c:pt>
                <c:pt idx="11">
                  <c:v>marl_ppo_ps_6int</c:v>
                </c:pt>
              </c:strCache>
            </c:strRef>
          </c:cat>
          <c:val>
            <c:numRef>
              <c:f>'Evaluation Results'!$I$2:$I$13</c:f>
              <c:numCache>
                <c:formatCode>0.00</c:formatCode>
                <c:ptCount val="12"/>
                <c:pt idx="0">
                  <c:v>29.4</c:v>
                </c:pt>
                <c:pt idx="1">
                  <c:v>53.7</c:v>
                </c:pt>
                <c:pt idx="2">
                  <c:v>23.7</c:v>
                </c:pt>
                <c:pt idx="3">
                  <c:v>37</c:v>
                </c:pt>
                <c:pt idx="4">
                  <c:v>14.1</c:v>
                </c:pt>
                <c:pt idx="5">
                  <c:v>14.9</c:v>
                </c:pt>
                <c:pt idx="6">
                  <c:v>8.1999999999999993</c:v>
                </c:pt>
                <c:pt idx="7">
                  <c:v>11.9</c:v>
                </c:pt>
                <c:pt idx="8">
                  <c:v>9</c:v>
                </c:pt>
                <c:pt idx="9">
                  <c:v>11.4</c:v>
                </c:pt>
                <c:pt idx="10">
                  <c:v>5.5</c:v>
                </c:pt>
                <c:pt idx="11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1-439C-BEAD-55CDE1A32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37223"/>
        <c:axId val="58471578"/>
      </c:barChart>
      <c:catAx>
        <c:axId val="651372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Config (Intersections / Method-Algorithm)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471578"/>
        <c:crosses val="autoZero"/>
        <c:auto val="1"/>
        <c:lblAlgn val="ctr"/>
        <c:lblOffset val="100"/>
        <c:noMultiLvlLbl val="0"/>
      </c:catAx>
      <c:valAx>
        <c:axId val="584715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Throughput (veh)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1372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Mean Delay by Config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'Evaluation Results'!$M$1</c:f>
              <c:strCache>
                <c:ptCount val="1"/>
                <c:pt idx="0">
                  <c:v>Mean Delay (s)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'Evaluation Results'!$A$2:$A$13</c:f>
              <c:strCache>
                <c:ptCount val="12"/>
                <c:pt idx="0">
                  <c:v>sarl_dqn_2int</c:v>
                </c:pt>
                <c:pt idx="1">
                  <c:v>sarl_ppo_2int</c:v>
                </c:pt>
                <c:pt idx="2">
                  <c:v>marl_dqn_ps_2int</c:v>
                </c:pt>
                <c:pt idx="3">
                  <c:v>marl_ppo_ps_2int</c:v>
                </c:pt>
                <c:pt idx="4">
                  <c:v>sarl_dqn_4int</c:v>
                </c:pt>
                <c:pt idx="5">
                  <c:v>sarl_ppo_4int</c:v>
                </c:pt>
                <c:pt idx="6">
                  <c:v>marl_dqn_ps_4int</c:v>
                </c:pt>
                <c:pt idx="7">
                  <c:v>marl_ppo_ps_4int</c:v>
                </c:pt>
                <c:pt idx="8">
                  <c:v>sarl_dqn_6int</c:v>
                </c:pt>
                <c:pt idx="9">
                  <c:v>sarl_ppo_6int</c:v>
                </c:pt>
                <c:pt idx="10">
                  <c:v>marl_dqn_ps_6int</c:v>
                </c:pt>
                <c:pt idx="11">
                  <c:v>marl_ppo_ps_6int</c:v>
                </c:pt>
              </c:strCache>
            </c:strRef>
          </c:cat>
          <c:val>
            <c:numRef>
              <c:f>'Evaluation Results'!$M$2:$M$13</c:f>
              <c:numCache>
                <c:formatCode>0.00</c:formatCode>
                <c:ptCount val="12"/>
                <c:pt idx="0">
                  <c:v>46.9</c:v>
                </c:pt>
                <c:pt idx="1">
                  <c:v>76.5</c:v>
                </c:pt>
                <c:pt idx="2">
                  <c:v>35.1</c:v>
                </c:pt>
                <c:pt idx="3">
                  <c:v>63.9</c:v>
                </c:pt>
                <c:pt idx="4">
                  <c:v>323.89999999999998</c:v>
                </c:pt>
                <c:pt idx="5">
                  <c:v>292.60000000000002</c:v>
                </c:pt>
                <c:pt idx="6">
                  <c:v>352.8</c:v>
                </c:pt>
                <c:pt idx="7">
                  <c:v>293.5</c:v>
                </c:pt>
                <c:pt idx="8">
                  <c:v>374.9</c:v>
                </c:pt>
                <c:pt idx="9">
                  <c:v>389.4</c:v>
                </c:pt>
                <c:pt idx="10">
                  <c:v>356.5</c:v>
                </c:pt>
                <c:pt idx="11">
                  <c:v>356.5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7-4627-8CE4-51ED968FF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82391"/>
        <c:axId val="33188959"/>
      </c:barChart>
      <c:catAx>
        <c:axId val="79082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188959"/>
        <c:crosses val="autoZero"/>
        <c:auto val="1"/>
        <c:lblAlgn val="ctr"/>
        <c:lblOffset val="100"/>
        <c:noMultiLvlLbl val="0"/>
      </c:catAx>
      <c:valAx>
        <c:axId val="331889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Delay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0823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8050</xdr:colOff>
      <xdr:row>14</xdr:row>
      <xdr:rowOff>80501</xdr:rowOff>
    </xdr:from>
    <xdr:to>
      <xdr:col>6</xdr:col>
      <xdr:colOff>957867</xdr:colOff>
      <xdr:row>29</xdr:row>
      <xdr:rowOff>6448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86FA6-F1C1-C928-31B8-1CE1A8652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1134950</xdr:colOff>
      <xdr:row>15</xdr:row>
      <xdr:rowOff>160994</xdr:rowOff>
    </xdr:from>
    <xdr:to>
      <xdr:col>13</xdr:col>
      <xdr:colOff>635893</xdr:colOff>
      <xdr:row>30</xdr:row>
      <xdr:rowOff>86941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233B3A-6203-8B82-DCEB-AF7367CBB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477590</xdr:colOff>
      <xdr:row>13</xdr:row>
      <xdr:rowOff>134155</xdr:rowOff>
    </xdr:from>
    <xdr:to>
      <xdr:col>22</xdr:col>
      <xdr:colOff>509787</xdr:colOff>
      <xdr:row>29</xdr:row>
      <xdr:rowOff>140603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49B05F-FC59-DF68-ACA7-A00FAA6ED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201232</xdr:colOff>
      <xdr:row>29</xdr:row>
      <xdr:rowOff>177888</xdr:rowOff>
    </xdr:from>
    <xdr:to>
      <xdr:col>7</xdr:col>
      <xdr:colOff>367584</xdr:colOff>
      <xdr:row>44</xdr:row>
      <xdr:rowOff>174400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5ABEF7-750E-D972-27F4-2DCFDA066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880057</xdr:colOff>
      <xdr:row>31</xdr:row>
      <xdr:rowOff>70565</xdr:rowOff>
    </xdr:from>
    <xdr:to>
      <xdr:col>13</xdr:col>
      <xdr:colOff>381000</xdr:colOff>
      <xdr:row>45</xdr:row>
      <xdr:rowOff>184328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191E25-5F90-E4FD-BD53-AA049E27F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786148</xdr:colOff>
      <xdr:row>32</xdr:row>
      <xdr:rowOff>16904</xdr:rowOff>
    </xdr:from>
    <xdr:to>
      <xdr:col>22</xdr:col>
      <xdr:colOff>152936</xdr:colOff>
      <xdr:row>46</xdr:row>
      <xdr:rowOff>130667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3DD45A-3574-6DC2-289C-7B658A15A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46933</xdr:colOff>
      <xdr:row>47</xdr:row>
      <xdr:rowOff>57150</xdr:rowOff>
    </xdr:from>
    <xdr:to>
      <xdr:col>6</xdr:col>
      <xdr:colOff>1029803</xdr:colOff>
      <xdr:row>61</xdr:row>
      <xdr:rowOff>94698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CF1FC5-2540-5BFF-7620-F18541259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25200</xdr:rowOff>
    </xdr:from>
    <xdr:to>
      <xdr:col>10</xdr:col>
      <xdr:colOff>131760</xdr:colOff>
      <xdr:row>37</xdr:row>
      <xdr:rowOff>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40</xdr:row>
      <xdr:rowOff>25560</xdr:rowOff>
    </xdr:from>
    <xdr:to>
      <xdr:col>10</xdr:col>
      <xdr:colOff>131760</xdr:colOff>
      <xdr:row>59</xdr:row>
      <xdr:rowOff>5760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topLeftCell="B1" zoomScale="69" zoomScaleNormal="71" workbookViewId="0">
      <pane ySplit="1" topLeftCell="A6" activePane="bottomLeft" state="frozen"/>
      <selection pane="bottomLeft" activeCell="J50" sqref="J50"/>
    </sheetView>
  </sheetViews>
  <sheetFormatPr defaultColWidth="8.7109375" defaultRowHeight="15" x14ac:dyDescent="0.25"/>
  <cols>
    <col min="1" max="1" width="20" customWidth="1"/>
    <col min="2" max="3" width="10" customWidth="1"/>
    <col min="4" max="5" width="12" customWidth="1"/>
    <col min="6" max="6" width="10" customWidth="1"/>
    <col min="7" max="7" width="18" customWidth="1"/>
    <col min="8" max="8" width="10" customWidth="1"/>
    <col min="9" max="9" width="18" customWidth="1"/>
    <col min="10" max="10" width="12" customWidth="1"/>
    <col min="11" max="11" width="18" customWidth="1"/>
    <col min="12" max="13" width="14" customWidth="1"/>
    <col min="14" max="14" width="10" customWidth="1"/>
    <col min="15" max="15" width="14" customWidth="1"/>
    <col min="16" max="16" width="12" customWidth="1"/>
  </cols>
  <sheetData>
    <row r="1" spans="1:16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>
        <v>2</v>
      </c>
      <c r="E2" s="4">
        <v>-827.7</v>
      </c>
      <c r="F2" s="5">
        <v>30.6</v>
      </c>
      <c r="G2" s="4">
        <v>2.58</v>
      </c>
      <c r="H2" s="5">
        <v>0.04</v>
      </c>
      <c r="I2" s="4">
        <v>29.4</v>
      </c>
      <c r="J2" s="5">
        <v>3.1</v>
      </c>
      <c r="K2" s="4">
        <v>58.6</v>
      </c>
      <c r="L2" s="5">
        <v>0.5</v>
      </c>
      <c r="M2" s="4">
        <v>46.9</v>
      </c>
      <c r="N2" s="5">
        <v>0.5</v>
      </c>
      <c r="O2" s="4">
        <v>0</v>
      </c>
      <c r="P2" s="5">
        <v>0</v>
      </c>
    </row>
    <row r="3" spans="1:16" x14ac:dyDescent="0.25">
      <c r="A3" s="3" t="s">
        <v>19</v>
      </c>
      <c r="B3" s="3" t="s">
        <v>17</v>
      </c>
      <c r="C3" s="3" t="s">
        <v>20</v>
      </c>
      <c r="D3" s="3">
        <v>2</v>
      </c>
      <c r="E3" s="4">
        <v>-1138.7</v>
      </c>
      <c r="F3" s="5">
        <v>56.2</v>
      </c>
      <c r="G3" s="4">
        <v>3.49</v>
      </c>
      <c r="H3" s="5">
        <v>0.09</v>
      </c>
      <c r="I3" s="4">
        <v>53.7</v>
      </c>
      <c r="J3" s="5">
        <v>4.5999999999999996</v>
      </c>
      <c r="K3" s="4">
        <v>88.3</v>
      </c>
      <c r="L3" s="5">
        <v>1</v>
      </c>
      <c r="M3" s="4">
        <v>76.5</v>
      </c>
      <c r="N3" s="5">
        <v>1</v>
      </c>
      <c r="O3" s="4">
        <v>0</v>
      </c>
      <c r="P3" s="5">
        <v>0</v>
      </c>
    </row>
    <row r="4" spans="1:16" x14ac:dyDescent="0.25">
      <c r="A4" s="3" t="s">
        <v>21</v>
      </c>
      <c r="B4" s="3" t="s">
        <v>22</v>
      </c>
      <c r="C4" s="3" t="s">
        <v>18</v>
      </c>
      <c r="D4" s="3">
        <v>2</v>
      </c>
      <c r="E4" s="4">
        <v>-528.70000000000005</v>
      </c>
      <c r="F4" s="5">
        <v>16.2</v>
      </c>
      <c r="G4" s="4">
        <v>1.92</v>
      </c>
      <c r="H4" s="5">
        <v>0.04</v>
      </c>
      <c r="I4" s="4">
        <v>23.7</v>
      </c>
      <c r="J4" s="5">
        <v>3.6</v>
      </c>
      <c r="K4" s="4">
        <v>46.7</v>
      </c>
      <c r="L4" s="5">
        <v>0.2</v>
      </c>
      <c r="M4" s="4">
        <v>35.1</v>
      </c>
      <c r="N4" s="5">
        <v>0.2</v>
      </c>
      <c r="O4" s="4">
        <v>0</v>
      </c>
      <c r="P4" s="5">
        <v>0</v>
      </c>
    </row>
    <row r="5" spans="1:16" x14ac:dyDescent="0.25">
      <c r="A5" s="3" t="s">
        <v>23</v>
      </c>
      <c r="B5" s="3" t="s">
        <v>22</v>
      </c>
      <c r="C5" s="3" t="s">
        <v>20</v>
      </c>
      <c r="D5" s="3">
        <v>2</v>
      </c>
      <c r="E5" s="4">
        <v>-836</v>
      </c>
      <c r="F5" s="5">
        <v>10.7</v>
      </c>
      <c r="G5" s="4">
        <v>2.68</v>
      </c>
      <c r="H5" s="5">
        <v>0.01</v>
      </c>
      <c r="I5" s="4">
        <v>37</v>
      </c>
      <c r="J5" s="5">
        <v>2.9</v>
      </c>
      <c r="K5" s="4">
        <v>75.599999999999994</v>
      </c>
      <c r="L5" s="5">
        <v>0.3</v>
      </c>
      <c r="M5" s="4">
        <v>63.9</v>
      </c>
      <c r="N5" s="5">
        <v>0.3</v>
      </c>
      <c r="O5" s="4">
        <v>0</v>
      </c>
      <c r="P5" s="5">
        <v>0</v>
      </c>
    </row>
    <row r="6" spans="1:16" x14ac:dyDescent="0.25">
      <c r="A6" s="3" t="s">
        <v>24</v>
      </c>
      <c r="B6" s="3" t="s">
        <v>17</v>
      </c>
      <c r="C6" s="3" t="s">
        <v>18</v>
      </c>
      <c r="D6" s="3">
        <v>4</v>
      </c>
      <c r="E6" s="4">
        <v>-5983.8</v>
      </c>
      <c r="F6" s="5">
        <v>128.80000000000001</v>
      </c>
      <c r="G6" s="4">
        <v>5.38</v>
      </c>
      <c r="H6" s="5">
        <v>0.08</v>
      </c>
      <c r="I6" s="4">
        <v>14.1</v>
      </c>
      <c r="J6" s="5">
        <v>3.7</v>
      </c>
      <c r="K6" s="4">
        <v>341</v>
      </c>
      <c r="L6" s="5">
        <v>27.8</v>
      </c>
      <c r="M6" s="4">
        <v>323.89999999999998</v>
      </c>
      <c r="N6" s="5">
        <v>27.8</v>
      </c>
      <c r="O6" s="4">
        <v>0.8</v>
      </c>
      <c r="P6" s="5">
        <v>1.2</v>
      </c>
    </row>
    <row r="7" spans="1:16" x14ac:dyDescent="0.25">
      <c r="A7" s="3" t="s">
        <v>25</v>
      </c>
      <c r="B7" s="3" t="s">
        <v>17</v>
      </c>
      <c r="C7" s="3" t="s">
        <v>20</v>
      </c>
      <c r="D7" s="3">
        <v>4</v>
      </c>
      <c r="E7" s="4">
        <v>-5398.4</v>
      </c>
      <c r="F7" s="5">
        <v>156.19999999999999</v>
      </c>
      <c r="G7" s="4">
        <v>5.1100000000000003</v>
      </c>
      <c r="H7" s="5">
        <v>0.08</v>
      </c>
      <c r="I7" s="4">
        <v>14.9</v>
      </c>
      <c r="J7" s="5">
        <v>2.5</v>
      </c>
      <c r="K7" s="4">
        <v>309.3</v>
      </c>
      <c r="L7" s="5">
        <v>17.600000000000001</v>
      </c>
      <c r="M7" s="4">
        <v>292.60000000000002</v>
      </c>
      <c r="N7" s="5">
        <v>17.5</v>
      </c>
      <c r="O7" s="4">
        <v>0.6</v>
      </c>
      <c r="P7" s="5">
        <v>0.8</v>
      </c>
    </row>
    <row r="8" spans="1:16" x14ac:dyDescent="0.25">
      <c r="A8" s="3" t="s">
        <v>26</v>
      </c>
      <c r="B8" s="3" t="s">
        <v>22</v>
      </c>
      <c r="C8" s="3" t="s">
        <v>18</v>
      </c>
      <c r="D8" s="3">
        <v>4</v>
      </c>
      <c r="E8" s="4">
        <v>-6140.5</v>
      </c>
      <c r="F8" s="5">
        <v>122</v>
      </c>
      <c r="G8" s="4">
        <v>5.74</v>
      </c>
      <c r="H8" s="5">
        <v>0.06</v>
      </c>
      <c r="I8" s="4">
        <v>8.1999999999999993</v>
      </c>
      <c r="J8" s="5">
        <v>2.2000000000000002</v>
      </c>
      <c r="K8" s="4">
        <v>371.2</v>
      </c>
      <c r="L8" s="5">
        <v>25.1</v>
      </c>
      <c r="M8" s="4">
        <v>352.8</v>
      </c>
      <c r="N8" s="5">
        <v>24.6</v>
      </c>
      <c r="O8" s="4">
        <v>0.8</v>
      </c>
      <c r="P8" s="5">
        <v>1</v>
      </c>
    </row>
    <row r="9" spans="1:16" x14ac:dyDescent="0.25">
      <c r="A9" s="3" t="s">
        <v>27</v>
      </c>
      <c r="B9" s="3" t="s">
        <v>22</v>
      </c>
      <c r="C9" s="3" t="s">
        <v>20</v>
      </c>
      <c r="D9" s="3">
        <v>4</v>
      </c>
      <c r="E9" s="4">
        <v>-5376.7</v>
      </c>
      <c r="F9" s="5">
        <v>89.6</v>
      </c>
      <c r="G9" s="4">
        <v>5.08</v>
      </c>
      <c r="H9" s="5">
        <v>0.06</v>
      </c>
      <c r="I9" s="4">
        <v>11.9</v>
      </c>
      <c r="J9" s="5">
        <v>3.7</v>
      </c>
      <c r="K9" s="4">
        <v>310.2</v>
      </c>
      <c r="L9" s="5">
        <v>14.8</v>
      </c>
      <c r="M9" s="4">
        <v>293.5</v>
      </c>
      <c r="N9" s="5">
        <v>14.8</v>
      </c>
      <c r="O9" s="4">
        <v>0.6</v>
      </c>
      <c r="P9" s="5">
        <v>0.8</v>
      </c>
    </row>
    <row r="10" spans="1:16" x14ac:dyDescent="0.25">
      <c r="A10" s="3" t="s">
        <v>28</v>
      </c>
      <c r="B10" s="3" t="s">
        <v>17</v>
      </c>
      <c r="C10" s="3" t="s">
        <v>18</v>
      </c>
      <c r="D10" s="3">
        <v>6</v>
      </c>
      <c r="E10" s="4">
        <v>-6854.5</v>
      </c>
      <c r="F10" s="5">
        <v>359.4</v>
      </c>
      <c r="G10" s="4">
        <v>5</v>
      </c>
      <c r="H10" s="5">
        <v>0.28999999999999998</v>
      </c>
      <c r="I10" s="4">
        <v>9</v>
      </c>
      <c r="J10" s="5">
        <v>1.9</v>
      </c>
      <c r="K10" s="4">
        <v>396.1</v>
      </c>
      <c r="L10" s="5">
        <v>16.3</v>
      </c>
      <c r="M10" s="4">
        <v>374.9</v>
      </c>
      <c r="N10" s="5">
        <v>16</v>
      </c>
      <c r="O10" s="4">
        <v>1.6</v>
      </c>
      <c r="P10" s="5">
        <v>0.9</v>
      </c>
    </row>
    <row r="11" spans="1:16" x14ac:dyDescent="0.25">
      <c r="A11" s="3" t="s">
        <v>29</v>
      </c>
      <c r="B11" s="3" t="s">
        <v>17</v>
      </c>
      <c r="C11" s="3" t="s">
        <v>20</v>
      </c>
      <c r="D11" s="3">
        <v>6</v>
      </c>
      <c r="E11" s="4">
        <v>-7137.7</v>
      </c>
      <c r="F11" s="5">
        <v>298.60000000000002</v>
      </c>
      <c r="G11" s="4">
        <v>5.0599999999999996</v>
      </c>
      <c r="H11" s="5">
        <v>0.21</v>
      </c>
      <c r="I11" s="4">
        <v>11.4</v>
      </c>
      <c r="J11" s="5">
        <v>3.1</v>
      </c>
      <c r="K11" s="4">
        <v>410.6</v>
      </c>
      <c r="L11" s="5">
        <v>18.8</v>
      </c>
      <c r="M11" s="4">
        <v>389.4</v>
      </c>
      <c r="N11" s="5">
        <v>18.5</v>
      </c>
      <c r="O11" s="4">
        <v>1.7</v>
      </c>
      <c r="P11" s="5">
        <v>1.1000000000000001</v>
      </c>
    </row>
    <row r="12" spans="1:16" x14ac:dyDescent="0.25">
      <c r="A12" s="3" t="s">
        <v>30</v>
      </c>
      <c r="B12" s="3" t="s">
        <v>22</v>
      </c>
      <c r="C12" s="3" t="s">
        <v>18</v>
      </c>
      <c r="D12" s="3">
        <v>6</v>
      </c>
      <c r="E12" s="4">
        <v>-6505.4</v>
      </c>
      <c r="F12" s="5">
        <v>89.7</v>
      </c>
      <c r="G12" s="4">
        <v>4.6399999999999997</v>
      </c>
      <c r="H12" s="5">
        <v>0.05</v>
      </c>
      <c r="I12" s="4">
        <v>5.5</v>
      </c>
      <c r="J12" s="5">
        <v>1.6</v>
      </c>
      <c r="K12" s="4">
        <v>376.3</v>
      </c>
      <c r="L12" s="5">
        <v>16.7</v>
      </c>
      <c r="M12" s="4">
        <v>356.5</v>
      </c>
      <c r="N12" s="5">
        <v>16.600000000000001</v>
      </c>
      <c r="O12" s="4">
        <v>2.2000000000000002</v>
      </c>
      <c r="P12" s="5">
        <v>1.1000000000000001</v>
      </c>
    </row>
    <row r="13" spans="1:16" x14ac:dyDescent="0.25">
      <c r="A13" s="6" t="s">
        <v>31</v>
      </c>
      <c r="B13" s="6" t="s">
        <v>22</v>
      </c>
      <c r="C13" s="6" t="s">
        <v>20</v>
      </c>
      <c r="D13" s="6">
        <v>6</v>
      </c>
      <c r="E13" s="7">
        <v>-6505.4</v>
      </c>
      <c r="F13" s="8">
        <v>89.7</v>
      </c>
      <c r="G13" s="7">
        <v>4.6399999999999997</v>
      </c>
      <c r="H13" s="8">
        <v>0.05</v>
      </c>
      <c r="I13" s="7">
        <v>5.5</v>
      </c>
      <c r="J13" s="8">
        <v>1.6</v>
      </c>
      <c r="K13" s="7">
        <v>376.3</v>
      </c>
      <c r="L13" s="8">
        <v>16.7</v>
      </c>
      <c r="M13" s="7">
        <v>356.5</v>
      </c>
      <c r="N13" s="8">
        <v>16.600000000000001</v>
      </c>
      <c r="O13" s="7">
        <v>2.2000000000000002</v>
      </c>
      <c r="P13" s="8">
        <v>1.1000000000000001</v>
      </c>
    </row>
    <row r="16" spans="1:16" x14ac:dyDescent="0.25">
      <c r="A16" t="s">
        <v>33</v>
      </c>
    </row>
    <row r="17" spans="1:1" x14ac:dyDescent="0.25">
      <c r="A17" t="s">
        <v>34</v>
      </c>
    </row>
    <row r="18" spans="1:1" x14ac:dyDescent="0.25">
      <c r="A18" t="s">
        <v>35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opLeftCell="A10" zoomScaleNormal="100" workbookViewId="0">
      <selection activeCell="M17" sqref="M17"/>
    </sheetView>
  </sheetViews>
  <sheetFormatPr defaultColWidth="8.7109375" defaultRowHeight="15" x14ac:dyDescent="0.25"/>
  <cols>
    <col min="1" max="1" width="14" customWidth="1"/>
    <col min="2" max="3" width="12" customWidth="1"/>
    <col min="4" max="4" width="14" customWidth="1"/>
    <col min="5" max="5" width="20" customWidth="1"/>
    <col min="6" max="6" width="14" customWidth="1"/>
  </cols>
  <sheetData>
    <row r="1" spans="1:6" ht="16.5" x14ac:dyDescent="0.25">
      <c r="A1" s="1" t="s">
        <v>32</v>
      </c>
      <c r="B1" s="1"/>
      <c r="C1" s="1"/>
      <c r="D1" s="1"/>
      <c r="E1" s="1"/>
      <c r="F1" s="1"/>
    </row>
    <row r="3" spans="1:6" ht="30" x14ac:dyDescent="0.25">
      <c r="A3" s="9" t="s">
        <v>3</v>
      </c>
      <c r="B3" s="9" t="s">
        <v>1</v>
      </c>
      <c r="C3" s="9" t="s">
        <v>2</v>
      </c>
      <c r="D3" s="9" t="s">
        <v>4</v>
      </c>
      <c r="E3" s="9" t="s">
        <v>8</v>
      </c>
      <c r="F3" s="9" t="s">
        <v>12</v>
      </c>
    </row>
    <row r="4" spans="1:6" x14ac:dyDescent="0.25">
      <c r="A4" s="3">
        <v>2</v>
      </c>
      <c r="B4" s="3" t="s">
        <v>22</v>
      </c>
      <c r="C4" s="3" t="s">
        <v>18</v>
      </c>
      <c r="D4" s="10">
        <v>-528.70000000000005</v>
      </c>
      <c r="E4" s="10">
        <v>23.7</v>
      </c>
      <c r="F4" s="10">
        <v>35.1</v>
      </c>
    </row>
    <row r="5" spans="1:6" x14ac:dyDescent="0.25">
      <c r="A5" s="3">
        <v>2</v>
      </c>
      <c r="B5" s="3" t="s">
        <v>22</v>
      </c>
      <c r="C5" s="3" t="s">
        <v>20</v>
      </c>
      <c r="D5" s="10">
        <v>-836</v>
      </c>
      <c r="E5" s="10">
        <v>37</v>
      </c>
      <c r="F5" s="10">
        <v>63.9</v>
      </c>
    </row>
    <row r="6" spans="1:6" x14ac:dyDescent="0.25">
      <c r="A6" s="3">
        <v>2</v>
      </c>
      <c r="B6" s="3" t="s">
        <v>17</v>
      </c>
      <c r="C6" s="3" t="s">
        <v>18</v>
      </c>
      <c r="D6" s="10">
        <v>-827.7</v>
      </c>
      <c r="E6" s="10">
        <v>29.4</v>
      </c>
      <c r="F6" s="10">
        <v>46.9</v>
      </c>
    </row>
    <row r="7" spans="1:6" x14ac:dyDescent="0.25">
      <c r="A7" s="3">
        <v>2</v>
      </c>
      <c r="B7" s="3" t="s">
        <v>17</v>
      </c>
      <c r="C7" s="3" t="s">
        <v>20</v>
      </c>
      <c r="D7" s="10">
        <v>-1138.7</v>
      </c>
      <c r="E7" s="10">
        <v>53.7</v>
      </c>
      <c r="F7" s="10">
        <v>76.5</v>
      </c>
    </row>
    <row r="8" spans="1:6" x14ac:dyDescent="0.25">
      <c r="A8" s="3">
        <v>4</v>
      </c>
      <c r="B8" s="3" t="s">
        <v>22</v>
      </c>
      <c r="C8" s="3" t="s">
        <v>18</v>
      </c>
      <c r="D8" s="10">
        <v>-6140.5</v>
      </c>
      <c r="E8" s="10">
        <v>8.1999999999999993</v>
      </c>
      <c r="F8" s="10">
        <v>352.8</v>
      </c>
    </row>
    <row r="9" spans="1:6" x14ac:dyDescent="0.25">
      <c r="A9" s="3">
        <v>4</v>
      </c>
      <c r="B9" s="3" t="s">
        <v>22</v>
      </c>
      <c r="C9" s="3" t="s">
        <v>20</v>
      </c>
      <c r="D9" s="10">
        <v>-5376.7</v>
      </c>
      <c r="E9" s="10">
        <v>11.9</v>
      </c>
      <c r="F9" s="10">
        <v>293.5</v>
      </c>
    </row>
    <row r="10" spans="1:6" x14ac:dyDescent="0.25">
      <c r="A10" s="3">
        <v>4</v>
      </c>
      <c r="B10" s="3" t="s">
        <v>17</v>
      </c>
      <c r="C10" s="3" t="s">
        <v>18</v>
      </c>
      <c r="D10" s="10">
        <v>-5983.8</v>
      </c>
      <c r="E10" s="10">
        <v>14.1</v>
      </c>
      <c r="F10" s="10">
        <v>323.89999999999998</v>
      </c>
    </row>
    <row r="11" spans="1:6" x14ac:dyDescent="0.25">
      <c r="A11" s="3">
        <v>4</v>
      </c>
      <c r="B11" s="3" t="s">
        <v>17</v>
      </c>
      <c r="C11" s="3" t="s">
        <v>20</v>
      </c>
      <c r="D11" s="10">
        <v>-5398.4</v>
      </c>
      <c r="E11" s="10">
        <v>14.9</v>
      </c>
      <c r="F11" s="10">
        <v>292.60000000000002</v>
      </c>
    </row>
    <row r="12" spans="1:6" x14ac:dyDescent="0.25">
      <c r="A12" s="3">
        <v>6</v>
      </c>
      <c r="B12" s="3" t="s">
        <v>22</v>
      </c>
      <c r="C12" s="3" t="s">
        <v>18</v>
      </c>
      <c r="D12" s="10">
        <v>-6505.4</v>
      </c>
      <c r="E12" s="10">
        <v>5.5</v>
      </c>
      <c r="F12" s="10">
        <v>356.5</v>
      </c>
    </row>
    <row r="13" spans="1:6" x14ac:dyDescent="0.25">
      <c r="A13" s="3">
        <v>6</v>
      </c>
      <c r="B13" s="3" t="s">
        <v>22</v>
      </c>
      <c r="C13" s="3" t="s">
        <v>20</v>
      </c>
      <c r="D13" s="10">
        <v>-6505.4</v>
      </c>
      <c r="E13" s="10">
        <v>5.5</v>
      </c>
      <c r="F13" s="10">
        <v>356.5</v>
      </c>
    </row>
    <row r="14" spans="1:6" x14ac:dyDescent="0.25">
      <c r="A14" s="3">
        <v>6</v>
      </c>
      <c r="B14" s="3" t="s">
        <v>17</v>
      </c>
      <c r="C14" s="3" t="s">
        <v>18</v>
      </c>
      <c r="D14" s="10">
        <v>-6854.5</v>
      </c>
      <c r="E14" s="10">
        <v>9</v>
      </c>
      <c r="F14" s="10">
        <v>374.9</v>
      </c>
    </row>
    <row r="15" spans="1:6" x14ac:dyDescent="0.25">
      <c r="A15" s="3">
        <v>6</v>
      </c>
      <c r="B15" s="3" t="s">
        <v>17</v>
      </c>
      <c r="C15" s="3" t="s">
        <v>20</v>
      </c>
      <c r="D15" s="10">
        <v>-7137.7</v>
      </c>
      <c r="E15" s="10">
        <v>11.4</v>
      </c>
      <c r="F15" s="10">
        <v>389.4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B1F6B9DCECA54291E70FCF2F6CA39A" ma:contentTypeVersion="9" ma:contentTypeDescription="Create a new document." ma:contentTypeScope="" ma:versionID="b26aa9de798ac10e05bc9561ae439c34">
  <xsd:schema xmlns:xsd="http://www.w3.org/2001/XMLSchema" xmlns:xs="http://www.w3.org/2001/XMLSchema" xmlns:p="http://schemas.microsoft.com/office/2006/metadata/properties" xmlns:ns3="8713a083-44aa-4129-beca-edd26a957d2d" xmlns:ns4="8dc5371e-825f-416d-ab23-819985f959df" targetNamespace="http://schemas.microsoft.com/office/2006/metadata/properties" ma:root="true" ma:fieldsID="1b3168f682370d08f267b0b4ac179040" ns3:_="" ns4:_="">
    <xsd:import namespace="8713a083-44aa-4129-beca-edd26a957d2d"/>
    <xsd:import namespace="8dc5371e-825f-416d-ab23-819985f959d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3a083-44aa-4129-beca-edd26a957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5371e-825f-416d-ab23-819985f959d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13a083-44aa-4129-beca-edd26a957d2d" xsi:nil="true"/>
  </documentManagement>
</p:properties>
</file>

<file path=customXml/itemProps1.xml><?xml version="1.0" encoding="utf-8"?>
<ds:datastoreItem xmlns:ds="http://schemas.openxmlformats.org/officeDocument/2006/customXml" ds:itemID="{C3256EBB-5793-4BF2-AA7A-33E3EBC8B9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3a083-44aa-4129-beca-edd26a957d2d"/>
    <ds:schemaRef ds:uri="8dc5371e-825f-416d-ab23-819985f95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31FECA-98CF-4103-B806-DEA7E2E13C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6D2105-D079-4942-BFE9-033F4BD65837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8dc5371e-825f-416d-ab23-819985f959df"/>
    <ds:schemaRef ds:uri="8713a083-44aa-4129-beca-edd26a957d2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 Results</vt:lpstr>
      <vt:lpstr>Summary by 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Siphetfo Magagula</cp:lastModifiedBy>
  <cp:revision>1</cp:revision>
  <dcterms:created xsi:type="dcterms:W3CDTF">2026-09-15T16:01:55Z</dcterms:created>
  <dcterms:modified xsi:type="dcterms:W3CDTF">2026-09-16T17:30:49Z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0x0101009FB1F6B9DCECA54291E70FCF2F6CA39A</vt:lpwstr>
  </property>
</Properties>
</file>